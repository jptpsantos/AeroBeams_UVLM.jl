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João Tavares\Doutorado EESC\Models\AeroBeams_UVLM.jl\lib\WingPropellerUVLM\examples\pazy_aerobeams_coupled\output\stability_sweep\"/>
    </mc:Choice>
  </mc:AlternateContent>
  <xr:revisionPtr revIDLastSave="0" documentId="13_ncr:1_{0C4B01CF-D3DC-4ABD-97F0-909B0FDCE5B6}" xr6:coauthVersionLast="45" xr6:coauthVersionMax="45" xr10:uidLastSave="{00000000-0000-0000-0000-000000000000}"/>
  <bookViews>
    <workbookView xWindow="28680" yWindow="-120" windowWidth="29040" windowHeight="15840" activeTab="1" xr2:uid="{DC610DD0-7593-4B9B-A937-5F71CD1E14EB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2" l="1"/>
  <c r="L24" i="2"/>
  <c r="J24" i="2"/>
  <c r="H24" i="2"/>
  <c r="F24" i="2"/>
  <c r="L23" i="2"/>
  <c r="J23" i="2"/>
  <c r="H23" i="2"/>
  <c r="F23" i="2"/>
  <c r="P22" i="2"/>
  <c r="N22" i="2"/>
  <c r="L22" i="2"/>
  <c r="J22" i="2"/>
  <c r="H22" i="2"/>
  <c r="F22" i="2"/>
  <c r="L21" i="2"/>
  <c r="J21" i="2"/>
  <c r="H21" i="2"/>
  <c r="F21" i="2"/>
  <c r="P20" i="2"/>
  <c r="N20" i="2"/>
  <c r="L20" i="2"/>
  <c r="J20" i="2"/>
  <c r="H20" i="2"/>
  <c r="F20" i="2"/>
  <c r="L19" i="2"/>
  <c r="J19" i="2"/>
  <c r="H19" i="2"/>
  <c r="F19" i="2"/>
  <c r="L18" i="2"/>
  <c r="J18" i="2"/>
  <c r="H18" i="2"/>
  <c r="F18" i="2"/>
  <c r="P8" i="2"/>
  <c r="P10" i="2"/>
  <c r="N8" i="2"/>
  <c r="N10" i="2"/>
  <c r="N12" i="2"/>
  <c r="L6" i="2"/>
  <c r="L7" i="2"/>
  <c r="L8" i="2"/>
  <c r="L9" i="2"/>
  <c r="L10" i="2"/>
  <c r="L11" i="2"/>
  <c r="L12" i="2"/>
  <c r="L5" i="2"/>
  <c r="J6" i="2"/>
  <c r="J7" i="2"/>
  <c r="J8" i="2"/>
  <c r="J9" i="2"/>
  <c r="J10" i="2"/>
  <c r="J11" i="2"/>
  <c r="J12" i="2"/>
  <c r="J5" i="2"/>
  <c r="H6" i="2"/>
  <c r="H7" i="2"/>
  <c r="H8" i="2"/>
  <c r="H9" i="2"/>
  <c r="H10" i="2"/>
  <c r="H11" i="2"/>
  <c r="H12" i="2"/>
  <c r="H5" i="2"/>
  <c r="F5" i="2"/>
  <c r="F6" i="2"/>
  <c r="F7" i="2"/>
  <c r="F8" i="2"/>
  <c r="F9" i="2"/>
  <c r="F10" i="2"/>
  <c r="F11" i="2"/>
  <c r="F12" i="2"/>
  <c r="F77" i="1"/>
  <c r="F76" i="1"/>
  <c r="F63" i="1"/>
  <c r="F62" i="1"/>
  <c r="F52" i="1"/>
  <c r="F51" i="1"/>
  <c r="F41" i="1" l="1"/>
  <c r="F40" i="1"/>
  <c r="F32" i="1"/>
  <c r="F31" i="1"/>
  <c r="F12" i="1"/>
  <c r="F21" i="1"/>
  <c r="F20" i="1"/>
  <c r="F11" i="1"/>
  <c r="F3" i="1"/>
</calcChain>
</file>

<file path=xl/sharedStrings.xml><?xml version="1.0" encoding="utf-8"?>
<sst xmlns="http://schemas.openxmlformats.org/spreadsheetml/2006/main" count="135" uniqueCount="28">
  <si>
    <t>aoa 0.0</t>
  </si>
  <si>
    <t>damp (1/s)</t>
  </si>
  <si>
    <t>V (m/s)</t>
  </si>
  <si>
    <t>freq (hz)</t>
  </si>
  <si>
    <t>onset speed</t>
  </si>
  <si>
    <t>offset speed</t>
  </si>
  <si>
    <t>rerun later for a longer time</t>
  </si>
  <si>
    <t xml:space="preserve">no offset. </t>
  </si>
  <si>
    <t>aoa 1.0</t>
  </si>
  <si>
    <t>aoa 2.0</t>
  </si>
  <si>
    <t>aoa 3.0</t>
  </si>
  <si>
    <t>aoa 4.0</t>
  </si>
  <si>
    <t>aoa 5.0</t>
  </si>
  <si>
    <t>aoa 6.0</t>
  </si>
  <si>
    <t>aoa 7.0</t>
  </si>
  <si>
    <t>AeroBeams</t>
  </si>
  <si>
    <t>SHARPY</t>
  </si>
  <si>
    <t>Test_Up</t>
  </si>
  <si>
    <t>Test_Down</t>
  </si>
  <si>
    <t>AoA</t>
  </si>
  <si>
    <t>UVLM</t>
  </si>
  <si>
    <t>Onset</t>
  </si>
  <si>
    <t>Diff.</t>
  </si>
  <si>
    <t>Panel</t>
  </si>
  <si>
    <t>UM/NAST</t>
  </si>
  <si>
    <t>Exp. Loss</t>
  </si>
  <si>
    <t>Offset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</si>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</sst>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A64D-5CCC-42B2-A7B2-5D99C22CA6C2}">
  <dimension ref="A2:F83"/>
  <sheetViews>
    <sheetView topLeftCell="A40" workbookViewId="0">
      <selection activeCell="D50" sqref="D50"/>
    </sheetView>
  </sheetViews>
  <sheetFormatPr defaultRowHeight="15" x14ac:dyDescent="0.25"/>
  <cols>
    <col min="2" max="2" width="11" bestFit="1" customWidth="1"/>
    <col min="5" max="5" width="12.140625" bestFit="1" customWidth="1"/>
  </cols>
  <sheetData>
    <row r="2" spans="1:6" x14ac:dyDescent="0.25">
      <c r="A2" t="s">
        <v>0</v>
      </c>
    </row>
    <row r="3" spans="1:6" x14ac:dyDescent="0.25">
      <c r="A3" t="s">
        <v>2</v>
      </c>
      <c r="B3" t="s">
        <v>1</v>
      </c>
      <c r="C3" t="s">
        <v>3</v>
      </c>
      <c r="E3" t="s">
        <v>4</v>
      </c>
      <c r="F3">
        <f>A4-B4*((A5-A4)/(B5-B4))</f>
        <v>64.962054121030093</v>
      </c>
    </row>
    <row r="4" spans="1:6" x14ac:dyDescent="0.25">
      <c r="A4">
        <v>64</v>
      </c>
      <c r="B4">
        <v>-0.52260290957731304</v>
      </c>
      <c r="C4">
        <v>35.389282103134398</v>
      </c>
      <c r="D4" t="s">
        <v>6</v>
      </c>
      <c r="E4" t="s">
        <v>5</v>
      </c>
      <c r="F4" t="s">
        <v>7</v>
      </c>
    </row>
    <row r="5" spans="1:6" x14ac:dyDescent="0.25">
      <c r="A5">
        <v>65</v>
      </c>
      <c r="B5">
        <v>2.06127974743349E-2</v>
      </c>
      <c r="C5">
        <v>34.658588220424598</v>
      </c>
    </row>
    <row r="6" spans="1:6" x14ac:dyDescent="0.25">
      <c r="A6">
        <v>67</v>
      </c>
      <c r="B6">
        <v>1.0829340341902001</v>
      </c>
      <c r="C6">
        <v>34.401857937310403</v>
      </c>
    </row>
    <row r="7" spans="1:6" x14ac:dyDescent="0.25">
      <c r="A7">
        <v>70</v>
      </c>
      <c r="B7">
        <v>2.5271025796564901</v>
      </c>
      <c r="C7">
        <v>33.177451971688498</v>
      </c>
    </row>
    <row r="8" spans="1:6" x14ac:dyDescent="0.25">
      <c r="A8">
        <v>80</v>
      </c>
    </row>
    <row r="10" spans="1:6" x14ac:dyDescent="0.25">
      <c r="A10" t="s">
        <v>8</v>
      </c>
    </row>
    <row r="11" spans="1:6" x14ac:dyDescent="0.25">
      <c r="A11" t="s">
        <v>2</v>
      </c>
      <c r="B11" t="s">
        <v>1</v>
      </c>
      <c r="C11" t="s">
        <v>3</v>
      </c>
      <c r="E11" t="s">
        <v>4</v>
      </c>
      <c r="F11">
        <f>A13-B13*((A14-A13)/(B14-B13))</f>
        <v>59.88610452652518</v>
      </c>
    </row>
    <row r="12" spans="1:6" x14ac:dyDescent="0.25">
      <c r="A12">
        <v>58</v>
      </c>
      <c r="B12">
        <v>-1.2528097681627099</v>
      </c>
      <c r="C12">
        <v>34.3623609706774</v>
      </c>
      <c r="E12" t="s">
        <v>5</v>
      </c>
      <c r="F12">
        <f>A15-B15*((A16-A15)/(B16-B15))</f>
        <v>75.273539603361101</v>
      </c>
    </row>
    <row r="13" spans="1:6" x14ac:dyDescent="0.25">
      <c r="A13">
        <v>59</v>
      </c>
      <c r="B13">
        <v>-0.64213580390044001</v>
      </c>
      <c r="C13">
        <v>33.789654954499397</v>
      </c>
    </row>
    <row r="14" spans="1:6" x14ac:dyDescent="0.25">
      <c r="A14">
        <v>60</v>
      </c>
      <c r="B14">
        <v>8.2536945959608393E-2</v>
      </c>
      <c r="C14">
        <v>34.3623609706774</v>
      </c>
    </row>
    <row r="15" spans="1:6" x14ac:dyDescent="0.25">
      <c r="A15">
        <v>75</v>
      </c>
      <c r="B15">
        <v>0.12751279605642599</v>
      </c>
      <c r="C15">
        <v>28.141588725985802</v>
      </c>
    </row>
    <row r="16" spans="1:6" x14ac:dyDescent="0.25">
      <c r="A16">
        <v>75.599999999999994</v>
      </c>
      <c r="B16">
        <v>-0.15218227074110399</v>
      </c>
      <c r="C16">
        <v>28.3667214357937</v>
      </c>
    </row>
    <row r="17" spans="1:6" x14ac:dyDescent="0.25">
      <c r="A17">
        <v>76</v>
      </c>
      <c r="B17">
        <v>-0.43995002469296501</v>
      </c>
      <c r="C17">
        <v>27.766367542972699</v>
      </c>
    </row>
    <row r="19" spans="1:6" x14ac:dyDescent="0.25">
      <c r="A19" t="s">
        <v>9</v>
      </c>
    </row>
    <row r="20" spans="1:6" x14ac:dyDescent="0.25">
      <c r="A20" t="s">
        <v>2</v>
      </c>
      <c r="B20" t="s">
        <v>1</v>
      </c>
      <c r="C20" t="s">
        <v>3</v>
      </c>
      <c r="E20" t="s">
        <v>4</v>
      </c>
      <c r="F20">
        <f>A22-B22*((A23-A22)/(B23-B22))</f>
        <v>53.888435984011963</v>
      </c>
    </row>
    <row r="21" spans="1:6" x14ac:dyDescent="0.25">
      <c r="A21">
        <v>50</v>
      </c>
      <c r="B21">
        <v>-2.3613583511709901</v>
      </c>
      <c r="C21">
        <v>34.559845803842201</v>
      </c>
      <c r="E21" t="s">
        <v>5</v>
      </c>
      <c r="F21">
        <f>A25-B25*((A26-A25)/(B26-B25))</f>
        <v>65.090140993973293</v>
      </c>
    </row>
    <row r="22" spans="1:6" x14ac:dyDescent="0.25">
      <c r="A22">
        <v>53</v>
      </c>
      <c r="B22">
        <v>-0.71631940485772105</v>
      </c>
      <c r="C22">
        <v>33.4934277047522</v>
      </c>
    </row>
    <row r="23" spans="1:6" x14ac:dyDescent="0.25">
      <c r="A23">
        <v>54</v>
      </c>
      <c r="B23">
        <v>8.9950734745353103E-2</v>
      </c>
      <c r="C23">
        <v>33.058961071789597</v>
      </c>
    </row>
    <row r="24" spans="1:6" x14ac:dyDescent="0.25">
      <c r="A24">
        <v>55</v>
      </c>
      <c r="B24">
        <v>0.60731387208485599</v>
      </c>
      <c r="C24">
        <v>29.326497724974701</v>
      </c>
    </row>
    <row r="25" spans="1:6" x14ac:dyDescent="0.25">
      <c r="A25">
        <v>65</v>
      </c>
      <c r="B25">
        <v>0.10304389397595901</v>
      </c>
      <c r="C25">
        <v>27.598505434782599</v>
      </c>
    </row>
    <row r="26" spans="1:6" x14ac:dyDescent="0.25">
      <c r="A26">
        <v>66</v>
      </c>
      <c r="B26">
        <v>-1.04009741647478</v>
      </c>
      <c r="C26">
        <v>27.371397876643002</v>
      </c>
    </row>
    <row r="27" spans="1:6" x14ac:dyDescent="0.25">
      <c r="A27">
        <v>69</v>
      </c>
      <c r="B27">
        <v>-2.8776356097789599</v>
      </c>
    </row>
    <row r="28" spans="1:6" x14ac:dyDescent="0.25">
      <c r="A28">
        <v>70</v>
      </c>
      <c r="B28">
        <v>-4.9107031495126803</v>
      </c>
      <c r="C28">
        <v>20.735907482305301</v>
      </c>
    </row>
    <row r="30" spans="1:6" x14ac:dyDescent="0.25">
      <c r="A30" t="s">
        <v>10</v>
      </c>
    </row>
    <row r="31" spans="1:6" x14ac:dyDescent="0.25">
      <c r="A31" t="s">
        <v>2</v>
      </c>
      <c r="B31" t="s">
        <v>1</v>
      </c>
      <c r="C31" t="s">
        <v>3</v>
      </c>
      <c r="E31" t="s">
        <v>4</v>
      </c>
      <c r="F31">
        <f>A32-B32*((A33-A32)/(B33-B32))</f>
        <v>49.171735987495751</v>
      </c>
    </row>
    <row r="32" spans="1:6" x14ac:dyDescent="0.25">
      <c r="A32">
        <v>45</v>
      </c>
      <c r="B32">
        <v>-2.4011306710265301</v>
      </c>
      <c r="C32">
        <v>35.547269969666303</v>
      </c>
      <c r="E32" t="s">
        <v>5</v>
      </c>
      <c r="F32">
        <f>A35-B35*((A36-A35)/(B36-B35))</f>
        <v>57.679198585998478</v>
      </c>
    </row>
    <row r="33" spans="1:6" x14ac:dyDescent="0.25">
      <c r="A33">
        <v>50</v>
      </c>
      <c r="B33">
        <v>0.476724828726586</v>
      </c>
      <c r="C33">
        <v>31.597573306369998</v>
      </c>
    </row>
    <row r="34" spans="1:6" x14ac:dyDescent="0.25">
      <c r="A34">
        <v>55</v>
      </c>
      <c r="B34">
        <v>0.22742426700547799</v>
      </c>
      <c r="C34">
        <v>28.240331142568198</v>
      </c>
    </row>
    <row r="35" spans="1:6" x14ac:dyDescent="0.25">
      <c r="A35">
        <v>57</v>
      </c>
      <c r="B35">
        <v>0.352929583825772</v>
      </c>
      <c r="C35">
        <v>28.141588725985802</v>
      </c>
    </row>
    <row r="36" spans="1:6" x14ac:dyDescent="0.25">
      <c r="A36">
        <v>59</v>
      </c>
      <c r="B36">
        <v>-0.68632341552179399</v>
      </c>
      <c r="C36">
        <v>27.3812721183013</v>
      </c>
    </row>
    <row r="37" spans="1:6" x14ac:dyDescent="0.25">
      <c r="A37">
        <v>60</v>
      </c>
      <c r="B37">
        <v>-3.0069409594488299</v>
      </c>
      <c r="C37">
        <v>27.2529069767441</v>
      </c>
    </row>
    <row r="39" spans="1:6" x14ac:dyDescent="0.25">
      <c r="A39" t="s">
        <v>11</v>
      </c>
    </row>
    <row r="40" spans="1:6" x14ac:dyDescent="0.25">
      <c r="A40" t="s">
        <v>2</v>
      </c>
      <c r="B40" t="s">
        <v>1</v>
      </c>
      <c r="C40" t="s">
        <v>3</v>
      </c>
      <c r="E40" t="s">
        <v>4</v>
      </c>
      <c r="F40">
        <f>A43-B43*((A44-A43)/(B44-B43))</f>
        <v>46.033153101368747</v>
      </c>
    </row>
    <row r="41" spans="1:6" x14ac:dyDescent="0.25">
      <c r="A41">
        <v>40</v>
      </c>
      <c r="B41">
        <v>-2.5077377998986301</v>
      </c>
      <c r="C41">
        <v>36.337209302325498</v>
      </c>
      <c r="E41" t="s">
        <v>5</v>
      </c>
      <c r="F41">
        <f>A46-B46*((A47-A46)/(B47-B46))</f>
        <v>53.449461209713277</v>
      </c>
    </row>
    <row r="42" spans="1:6" x14ac:dyDescent="0.25">
      <c r="A42">
        <v>45</v>
      </c>
      <c r="B42">
        <v>-1.20434896902001</v>
      </c>
      <c r="C42">
        <v>31.992542972699699</v>
      </c>
    </row>
    <row r="43" spans="1:6" x14ac:dyDescent="0.25">
      <c r="A43">
        <v>46</v>
      </c>
      <c r="B43">
        <v>-4.2652078457301901E-2</v>
      </c>
      <c r="C43">
        <v>31.567950581395301</v>
      </c>
    </row>
    <row r="44" spans="1:6" x14ac:dyDescent="0.25">
      <c r="A44">
        <v>47</v>
      </c>
      <c r="B44">
        <v>1.2438664279985201</v>
      </c>
      <c r="C44">
        <v>29.7017189079878</v>
      </c>
    </row>
    <row r="45" spans="1:6" x14ac:dyDescent="0.25">
      <c r="A45">
        <v>48</v>
      </c>
      <c r="B45">
        <v>1.0575674314776999</v>
      </c>
      <c r="C45">
        <v>28.437815975732999</v>
      </c>
    </row>
    <row r="46" spans="1:6" x14ac:dyDescent="0.25">
      <c r="A46">
        <v>53</v>
      </c>
      <c r="B46">
        <v>0.97585879553928001</v>
      </c>
      <c r="C46">
        <v>27.2134100101112</v>
      </c>
    </row>
    <row r="47" spans="1:6" x14ac:dyDescent="0.25">
      <c r="A47">
        <v>54</v>
      </c>
      <c r="B47">
        <v>-1.1953158786040201</v>
      </c>
      <c r="C47">
        <v>27.726870576339699</v>
      </c>
    </row>
    <row r="48" spans="1:6" x14ac:dyDescent="0.25">
      <c r="A48">
        <v>55</v>
      </c>
      <c r="B48">
        <v>-3.6957657796983701</v>
      </c>
      <c r="C48">
        <v>27.1541645601617</v>
      </c>
    </row>
    <row r="50" spans="1:6" x14ac:dyDescent="0.25">
      <c r="A50" t="s">
        <v>12</v>
      </c>
    </row>
    <row r="51" spans="1:6" x14ac:dyDescent="0.25">
      <c r="A51" t="s">
        <v>2</v>
      </c>
      <c r="B51" t="s">
        <v>1</v>
      </c>
      <c r="C51" t="s">
        <v>3</v>
      </c>
      <c r="E51" t="s">
        <v>4</v>
      </c>
      <c r="F51">
        <f>A53-B53*((A54-A53)/(B54-B53))</f>
        <v>43.407662440240316</v>
      </c>
    </row>
    <row r="52" spans="1:6" x14ac:dyDescent="0.25">
      <c r="A52">
        <v>40</v>
      </c>
      <c r="B52">
        <v>-1.7746470441753699</v>
      </c>
      <c r="C52">
        <v>33.177451971688498</v>
      </c>
      <c r="E52" t="s">
        <v>5</v>
      </c>
      <c r="F52">
        <f>A57-B57*((A58-A57)/(B58-B57))</f>
        <v>50.002456343921033</v>
      </c>
    </row>
    <row r="53" spans="1:6" x14ac:dyDescent="0.25">
      <c r="A53">
        <v>43</v>
      </c>
      <c r="B53">
        <v>-0.52985835100496204</v>
      </c>
      <c r="C53">
        <v>31.419836956521699</v>
      </c>
    </row>
    <row r="54" spans="1:6" x14ac:dyDescent="0.25">
      <c r="A54">
        <v>44</v>
      </c>
      <c r="B54">
        <v>0.76988942731037202</v>
      </c>
      <c r="C54">
        <v>29.543731041455999</v>
      </c>
    </row>
    <row r="55" spans="1:6" x14ac:dyDescent="0.25">
      <c r="A55">
        <v>45</v>
      </c>
      <c r="B55">
        <v>1.2849287884041301</v>
      </c>
      <c r="C55">
        <v>28.437815975732999</v>
      </c>
    </row>
    <row r="56" spans="1:6" x14ac:dyDescent="0.25">
      <c r="A56">
        <v>49</v>
      </c>
      <c r="B56">
        <v>0.176780006332284</v>
      </c>
      <c r="C56">
        <v>27.094919110212299</v>
      </c>
    </row>
    <row r="57" spans="1:6" x14ac:dyDescent="0.25">
      <c r="A57">
        <v>50</v>
      </c>
      <c r="B57">
        <v>1.0297929429572699E-2</v>
      </c>
      <c r="C57">
        <v>27.647876643073801</v>
      </c>
    </row>
    <row r="58" spans="1:6" x14ac:dyDescent="0.25">
      <c r="A58">
        <v>50.5</v>
      </c>
      <c r="B58">
        <v>-2.0858925391343801</v>
      </c>
      <c r="C58">
        <v>27.9243554095045</v>
      </c>
    </row>
    <row r="59" spans="1:6" x14ac:dyDescent="0.25">
      <c r="A59">
        <v>51</v>
      </c>
      <c r="B59">
        <v>-3.4816317009465099</v>
      </c>
    </row>
    <row r="61" spans="1:6" x14ac:dyDescent="0.25">
      <c r="A61" t="s">
        <v>13</v>
      </c>
    </row>
    <row r="62" spans="1:6" x14ac:dyDescent="0.25">
      <c r="A62" t="s">
        <v>2</v>
      </c>
      <c r="B62" t="s">
        <v>1</v>
      </c>
      <c r="C62" t="s">
        <v>3</v>
      </c>
      <c r="E62" t="s">
        <v>4</v>
      </c>
      <c r="F62">
        <f>A67-B67*((A68-A67)/(B68-B67))</f>
        <v>41.350301594315397</v>
      </c>
    </row>
    <row r="63" spans="1:6" x14ac:dyDescent="0.25">
      <c r="A63">
        <v>35</v>
      </c>
      <c r="B63">
        <v>-2.0687449300038399</v>
      </c>
      <c r="C63">
        <v>35.942239635995897</v>
      </c>
      <c r="E63" t="s">
        <v>5</v>
      </c>
      <c r="F63">
        <f>A69-B69*((A71-A69)/(B71-B69))</f>
        <v>46.463545848598223</v>
      </c>
    </row>
    <row r="64" spans="1:6" x14ac:dyDescent="0.25">
      <c r="A64">
        <v>37</v>
      </c>
      <c r="B64">
        <v>-1.86613382861721</v>
      </c>
      <c r="C64">
        <v>33.611918604651102</v>
      </c>
    </row>
    <row r="65" spans="1:6" x14ac:dyDescent="0.25">
      <c r="A65">
        <v>39</v>
      </c>
      <c r="B65">
        <v>-1.13683107045077</v>
      </c>
      <c r="C65">
        <v>32.348015672396301</v>
      </c>
    </row>
    <row r="66" spans="1:6" x14ac:dyDescent="0.25">
      <c r="A66">
        <v>40</v>
      </c>
      <c r="B66">
        <v>-0.60178276524297603</v>
      </c>
      <c r="C66">
        <v>31.597573306369998</v>
      </c>
    </row>
    <row r="67" spans="1:6" x14ac:dyDescent="0.25">
      <c r="A67">
        <v>41</v>
      </c>
      <c r="B67">
        <v>-0.48080111859743702</v>
      </c>
      <c r="C67">
        <v>30.768137007077801</v>
      </c>
    </row>
    <row r="68" spans="1:6" x14ac:dyDescent="0.25">
      <c r="A68">
        <v>42</v>
      </c>
      <c r="B68">
        <v>0.89173365258189496</v>
      </c>
      <c r="C68">
        <v>29.859000000000002</v>
      </c>
    </row>
    <row r="69" spans="1:6" x14ac:dyDescent="0.25">
      <c r="A69">
        <v>45</v>
      </c>
      <c r="B69">
        <v>0.673680730185094</v>
      </c>
      <c r="C69">
        <v>28.437815975732999</v>
      </c>
    </row>
    <row r="70" spans="1:6" x14ac:dyDescent="0.25">
      <c r="A70">
        <v>46</v>
      </c>
      <c r="B70">
        <v>1.0612110352163</v>
      </c>
      <c r="C70">
        <v>27.2529069767441</v>
      </c>
    </row>
    <row r="71" spans="1:6" x14ac:dyDescent="0.25">
      <c r="A71">
        <v>47</v>
      </c>
      <c r="B71">
        <v>-0.246933722488653</v>
      </c>
      <c r="C71">
        <v>27.845361476238601</v>
      </c>
    </row>
    <row r="72" spans="1:6" x14ac:dyDescent="0.25">
      <c r="A72">
        <v>48</v>
      </c>
      <c r="B72">
        <v>-3.2810151203195499</v>
      </c>
    </row>
    <row r="73" spans="1:6" x14ac:dyDescent="0.25">
      <c r="A73">
        <v>50</v>
      </c>
      <c r="B73">
        <v>-3.1919138575732</v>
      </c>
      <c r="C73">
        <v>23.6981799797775</v>
      </c>
    </row>
    <row r="75" spans="1:6" x14ac:dyDescent="0.25">
      <c r="A75" t="s">
        <v>14</v>
      </c>
    </row>
    <row r="76" spans="1:6" x14ac:dyDescent="0.25">
      <c r="A76" t="s">
        <v>2</v>
      </c>
      <c r="B76" t="s">
        <v>1</v>
      </c>
      <c r="C76" t="s">
        <v>3</v>
      </c>
      <c r="E76" t="s">
        <v>4</v>
      </c>
      <c r="F76">
        <f>A77-B77*((A78-A77)/(B78-B77))</f>
        <v>39.862936422475734</v>
      </c>
    </row>
    <row r="77" spans="1:6" x14ac:dyDescent="0.25">
      <c r="A77">
        <v>37</v>
      </c>
      <c r="B77">
        <v>-1.08369514466899</v>
      </c>
      <c r="C77">
        <v>32.1505308392315</v>
      </c>
      <c r="E77" t="s">
        <v>5</v>
      </c>
      <c r="F77">
        <f>A82-B82*((A83-A82)/(B83-B82))</f>
        <v>44.219920863128628</v>
      </c>
    </row>
    <row r="78" spans="1:6" x14ac:dyDescent="0.25">
      <c r="A78">
        <v>39</v>
      </c>
      <c r="B78">
        <v>-0.32664365294787001</v>
      </c>
      <c r="C78">
        <v>30.8076339737108</v>
      </c>
    </row>
    <row r="79" spans="1:6" x14ac:dyDescent="0.25">
      <c r="A79">
        <v>40</v>
      </c>
      <c r="B79">
        <v>0.76983716031889404</v>
      </c>
      <c r="C79">
        <v>30.017694641051499</v>
      </c>
    </row>
    <row r="80" spans="1:6" x14ac:dyDescent="0.25">
      <c r="A80">
        <v>42</v>
      </c>
      <c r="B80">
        <v>0.92931976055947996</v>
      </c>
      <c r="C80">
        <v>28.200834175935199</v>
      </c>
    </row>
    <row r="81" spans="1:3" x14ac:dyDescent="0.25">
      <c r="A81">
        <v>43</v>
      </c>
      <c r="B81">
        <v>1.2082675597919399</v>
      </c>
      <c r="C81">
        <v>27.173913043478201</v>
      </c>
    </row>
    <row r="82" spans="1:3" x14ac:dyDescent="0.25">
      <c r="A82">
        <v>44</v>
      </c>
      <c r="B82">
        <v>0.83226873580716598</v>
      </c>
      <c r="C82">
        <v>27.805864509605598</v>
      </c>
    </row>
    <row r="83" spans="1:3" x14ac:dyDescent="0.25">
      <c r="A83">
        <v>45</v>
      </c>
      <c r="B83">
        <v>-2.9521322708422</v>
      </c>
      <c r="C83">
        <v>26.660452477249699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4EE5C-B2B5-4728-9B4B-9F75D8211BE6}">
  <dimension ref="C3:P24"/>
  <sheetViews>
    <sheetView tabSelected="1" topLeftCell="B1" zoomScale="120" workbookViewId="0">
      <selection activeCell="E10" sqref="E10"/>
    </sheetView>
  </sheetViews>
  <sheetFormatPr defaultRowHeight="15" x14ac:dyDescent="0.25"/>
  <cols>
    <col min="4" max="4" width="8" customWidth="1"/>
    <col min="5" max="5" width="11.140625" bestFit="1" customWidth="1"/>
    <col min="6" max="6" width="8.28515625" bestFit="1" customWidth="1"/>
    <col min="7" max="7" width="9.5703125" bestFit="1" customWidth="1"/>
    <col min="8" max="8" width="8.28515625" bestFit="1" customWidth="1"/>
    <col min="9" max="9" width="10.28515625" customWidth="1"/>
    <col min="10" max="10" width="8.28515625" bestFit="1" customWidth="1"/>
    <col min="11" max="11" width="7.85546875" bestFit="1" customWidth="1"/>
    <col min="12" max="12" width="6.85546875" bestFit="1" customWidth="1"/>
    <col min="13" max="13" width="8.140625" bestFit="1" customWidth="1"/>
    <col min="14" max="14" width="8.140625" customWidth="1"/>
    <col min="15" max="15" width="10.85546875" bestFit="1" customWidth="1"/>
  </cols>
  <sheetData>
    <row r="3" spans="3:16" x14ac:dyDescent="0.25">
      <c r="C3" s="4" t="s">
        <v>21</v>
      </c>
      <c r="D3" s="4"/>
      <c r="E3" s="4"/>
      <c r="F3" s="4"/>
      <c r="G3" s="4" t="s">
        <v>24</v>
      </c>
      <c r="H3" s="4"/>
      <c r="I3" s="4" t="s">
        <v>24</v>
      </c>
      <c r="J3" s="4"/>
      <c r="K3" s="4"/>
      <c r="L3" s="4"/>
      <c r="M3" s="4"/>
      <c r="N3" s="4"/>
      <c r="O3" s="4"/>
      <c r="P3" s="4"/>
    </row>
    <row r="4" spans="3:16" x14ac:dyDescent="0.25">
      <c r="C4" s="5" t="s">
        <v>19</v>
      </c>
      <c r="D4" s="8" t="s">
        <v>20</v>
      </c>
      <c r="E4" s="6" t="s">
        <v>15</v>
      </c>
      <c r="F4" s="6" t="s">
        <v>22</v>
      </c>
      <c r="G4" s="6" t="s">
        <v>25</v>
      </c>
      <c r="H4" s="6" t="s">
        <v>22</v>
      </c>
      <c r="I4" s="7" t="s">
        <v>23</v>
      </c>
      <c r="J4" s="6" t="s">
        <v>22</v>
      </c>
      <c r="K4" s="6" t="s">
        <v>16</v>
      </c>
      <c r="L4" s="6" t="s">
        <v>22</v>
      </c>
      <c r="M4" s="6" t="s">
        <v>17</v>
      </c>
      <c r="N4" s="6" t="s">
        <v>22</v>
      </c>
      <c r="O4" s="6" t="s">
        <v>18</v>
      </c>
      <c r="P4" s="6" t="s">
        <v>22</v>
      </c>
    </row>
    <row r="5" spans="3:16" x14ac:dyDescent="0.25">
      <c r="C5" s="5">
        <v>0</v>
      </c>
      <c r="D5" s="9">
        <v>64.962054120000005</v>
      </c>
      <c r="E5" s="2">
        <v>77.449705710000003</v>
      </c>
      <c r="F5" s="3">
        <f>(D5-E5)/E5</f>
        <v>-0.16123562349944012</v>
      </c>
      <c r="G5" s="1">
        <v>72.436000000000007</v>
      </c>
      <c r="H5" s="3">
        <f>(D5-G5)/G5</f>
        <v>-0.1031799917168259</v>
      </c>
      <c r="I5" s="1">
        <v>87.515000000000001</v>
      </c>
      <c r="J5" s="3">
        <f>(D5-I5)/I5</f>
        <v>-0.25770377512426434</v>
      </c>
      <c r="K5" s="1">
        <v>64.5</v>
      </c>
      <c r="L5" s="3">
        <f>(D5-K5)/K5</f>
        <v>7.163629767441935E-3</v>
      </c>
      <c r="M5" s="3" t="s">
        <v>27</v>
      </c>
      <c r="N5" s="3" t="s">
        <v>27</v>
      </c>
      <c r="O5" s="3" t="s">
        <v>27</v>
      </c>
      <c r="P5" s="3" t="s">
        <v>27</v>
      </c>
    </row>
    <row r="6" spans="3:16" x14ac:dyDescent="0.25">
      <c r="C6" s="5">
        <v>1</v>
      </c>
      <c r="D6" s="9">
        <v>59.886104529999997</v>
      </c>
      <c r="E6" s="2">
        <v>64.475841250000002</v>
      </c>
      <c r="F6" s="3">
        <f t="shared" ref="F6:F12" si="0">(D6-E6)/E6</f>
        <v>-7.1185371621653781E-2</v>
      </c>
      <c r="G6" s="1">
        <v>61.737000000000002</v>
      </c>
      <c r="H6" s="3">
        <f t="shared" ref="H6:H12" si="1">(D6-G6)/G6</f>
        <v>-2.9980327356366597E-2</v>
      </c>
      <c r="I6" s="1">
        <v>66.007000000000005</v>
      </c>
      <c r="J6" s="3">
        <f t="shared" ref="J6:J12" si="2">(D6-I6)/I6</f>
        <v>-9.2731005347917755E-2</v>
      </c>
      <c r="K6" s="1">
        <v>60.463999999999999</v>
      </c>
      <c r="L6" s="3">
        <f t="shared" ref="L6:L12" si="3">(D6-K6)/K6</f>
        <v>-9.557678453294546E-3</v>
      </c>
      <c r="M6" s="3" t="s">
        <v>27</v>
      </c>
      <c r="N6" s="3" t="s">
        <v>27</v>
      </c>
      <c r="O6" s="3" t="s">
        <v>27</v>
      </c>
      <c r="P6" s="3" t="s">
        <v>27</v>
      </c>
    </row>
    <row r="7" spans="3:16" x14ac:dyDescent="0.25">
      <c r="C7" s="5">
        <v>2</v>
      </c>
      <c r="D7" s="9">
        <v>53.888435979999997</v>
      </c>
      <c r="E7" s="2">
        <v>56.34898973</v>
      </c>
      <c r="F7" s="3">
        <f t="shared" si="0"/>
        <v>-4.3666333004192488E-2</v>
      </c>
      <c r="G7" s="1">
        <v>53.572000000000003</v>
      </c>
      <c r="H7" s="3">
        <f t="shared" si="1"/>
        <v>5.9067419547523753E-3</v>
      </c>
      <c r="I7" s="1">
        <v>56.555999999999997</v>
      </c>
      <c r="J7" s="3">
        <f t="shared" si="2"/>
        <v>-4.7166773109838044E-2</v>
      </c>
      <c r="K7" s="1">
        <v>54.878999999999998</v>
      </c>
      <c r="L7" s="3">
        <f t="shared" si="3"/>
        <v>-1.8049964831720708E-2</v>
      </c>
      <c r="M7" s="3" t="s">
        <v>27</v>
      </c>
      <c r="N7" s="3" t="s">
        <v>27</v>
      </c>
      <c r="O7" s="3" t="s">
        <v>27</v>
      </c>
      <c r="P7" s="3" t="s">
        <v>27</v>
      </c>
    </row>
    <row r="8" spans="3:16" x14ac:dyDescent="0.25">
      <c r="C8" s="5">
        <v>3</v>
      </c>
      <c r="D8" s="9">
        <v>49.171735990000002</v>
      </c>
      <c r="E8" s="2">
        <v>50.881863789999997</v>
      </c>
      <c r="F8" s="3">
        <f t="shared" si="0"/>
        <v>-3.3609771195843907E-2</v>
      </c>
      <c r="G8" s="1">
        <v>48.256</v>
      </c>
      <c r="H8" s="3">
        <f t="shared" si="1"/>
        <v>1.8976624461206931E-2</v>
      </c>
      <c r="I8" s="1">
        <v>50.593000000000004</v>
      </c>
      <c r="J8" s="3">
        <f t="shared" si="2"/>
        <v>-2.8092107801474541E-2</v>
      </c>
      <c r="K8" s="1">
        <v>50.311999999999998</v>
      </c>
      <c r="L8" s="3">
        <f t="shared" si="3"/>
        <v>-2.2663857727778576E-2</v>
      </c>
      <c r="M8" s="1">
        <v>49</v>
      </c>
      <c r="N8" s="3">
        <f t="shared" ref="N8:N12" si="4">(D8-M8)/M8</f>
        <v>3.5048161224490192E-3</v>
      </c>
      <c r="O8" s="1">
        <v>55</v>
      </c>
      <c r="P8" s="3">
        <f t="shared" ref="P8:P10" si="5">(D8-O8)/O8</f>
        <v>-0.10596843654545451</v>
      </c>
    </row>
    <row r="9" spans="3:16" x14ac:dyDescent="0.25">
      <c r="C9" s="5">
        <v>4</v>
      </c>
      <c r="D9" s="9">
        <v>46.0331531</v>
      </c>
      <c r="E9" s="2">
        <v>46.915360649999997</v>
      </c>
      <c r="F9" s="3">
        <f t="shared" si="0"/>
        <v>-1.8804236773995616E-2</v>
      </c>
      <c r="G9" s="1">
        <v>44.396999999999998</v>
      </c>
      <c r="H9" s="3">
        <f t="shared" si="1"/>
        <v>3.6852785098092249E-2</v>
      </c>
      <c r="I9" s="1">
        <v>46.362000000000002</v>
      </c>
      <c r="J9" s="3">
        <f t="shared" si="2"/>
        <v>-7.0930266166257284E-3</v>
      </c>
      <c r="K9" s="1">
        <v>46.646999999999998</v>
      </c>
      <c r="L9" s="3">
        <f t="shared" si="3"/>
        <v>-1.3159407893326444E-2</v>
      </c>
      <c r="M9" s="3" t="s">
        <v>27</v>
      </c>
      <c r="N9" s="3" t="s">
        <v>27</v>
      </c>
      <c r="O9" s="3" t="s">
        <v>27</v>
      </c>
      <c r="P9" s="3" t="s">
        <v>27</v>
      </c>
    </row>
    <row r="10" spans="3:16" x14ac:dyDescent="0.25">
      <c r="C10" s="5">
        <v>5</v>
      </c>
      <c r="D10" s="9">
        <v>43.407662440000003</v>
      </c>
      <c r="E10" s="2">
        <v>43.855753280000002</v>
      </c>
      <c r="F10" s="3">
        <f t="shared" si="0"/>
        <v>-1.0217378712871102E-2</v>
      </c>
      <c r="G10" s="1">
        <v>41.399000000000001</v>
      </c>
      <c r="H10" s="3">
        <f t="shared" si="1"/>
        <v>4.8519588395855018E-2</v>
      </c>
      <c r="I10" s="1">
        <v>43.110999999999997</v>
      </c>
      <c r="J10" s="3">
        <f t="shared" si="2"/>
        <v>6.8813629932037244E-3</v>
      </c>
      <c r="K10" s="1">
        <v>43.767000000000003</v>
      </c>
      <c r="L10" s="3">
        <f t="shared" si="3"/>
        <v>-8.2102396782964375E-3</v>
      </c>
      <c r="M10" s="1">
        <v>43</v>
      </c>
      <c r="N10" s="3">
        <f t="shared" si="4"/>
        <v>9.4805218604651822E-3</v>
      </c>
      <c r="O10" s="1">
        <v>48</v>
      </c>
      <c r="P10" s="3">
        <f t="shared" si="5"/>
        <v>-9.5673699166666612E-2</v>
      </c>
    </row>
    <row r="11" spans="3:16" x14ac:dyDescent="0.25">
      <c r="C11" s="5">
        <v>6</v>
      </c>
      <c r="D11" s="9">
        <v>41.350301590000001</v>
      </c>
      <c r="E11" s="2">
        <v>41.408371690000003</v>
      </c>
      <c r="F11" s="3">
        <f t="shared" si="0"/>
        <v>-1.4023758392321824E-3</v>
      </c>
      <c r="G11" s="1">
        <v>39.113</v>
      </c>
      <c r="H11" s="3">
        <f t="shared" si="1"/>
        <v>5.7200971288318497E-2</v>
      </c>
      <c r="I11" s="1">
        <v>40.590000000000003</v>
      </c>
      <c r="J11" s="3">
        <f t="shared" si="2"/>
        <v>1.8731253757082959E-2</v>
      </c>
      <c r="K11" s="1">
        <v>41.381</v>
      </c>
      <c r="L11" s="3">
        <f t="shared" si="3"/>
        <v>-7.4184794954204581E-4</v>
      </c>
      <c r="M11" s="3" t="s">
        <v>27</v>
      </c>
      <c r="N11" s="3" t="s">
        <v>27</v>
      </c>
      <c r="O11" s="3" t="s">
        <v>27</v>
      </c>
      <c r="P11" s="3" t="s">
        <v>27</v>
      </c>
    </row>
    <row r="12" spans="3:16" x14ac:dyDescent="0.25">
      <c r="C12" s="5">
        <v>7</v>
      </c>
      <c r="D12" s="9">
        <v>39.862936419999997</v>
      </c>
      <c r="E12" s="2">
        <v>39.365460859999999</v>
      </c>
      <c r="F12" s="3">
        <f t="shared" si="0"/>
        <v>1.2637361512652644E-2</v>
      </c>
      <c r="G12" s="1">
        <v>37.174999999999997</v>
      </c>
      <c r="H12" s="3">
        <f t="shared" si="1"/>
        <v>7.2304947410894424E-2</v>
      </c>
      <c r="I12" s="1">
        <v>38.637999999999998</v>
      </c>
      <c r="J12" s="3">
        <f t="shared" si="2"/>
        <v>3.1702894042134659E-2</v>
      </c>
      <c r="K12" s="1">
        <v>39.344999999999999</v>
      </c>
      <c r="L12" s="3">
        <f t="shared" si="3"/>
        <v>1.3163970517219421E-2</v>
      </c>
      <c r="M12" s="1">
        <v>38</v>
      </c>
      <c r="N12" s="3">
        <f t="shared" si="4"/>
        <v>4.9024642631578866E-2</v>
      </c>
      <c r="O12" s="3" t="s">
        <v>27</v>
      </c>
      <c r="P12" s="3" t="s">
        <v>27</v>
      </c>
    </row>
    <row r="15" spans="3:16" x14ac:dyDescent="0.25">
      <c r="C15" s="4" t="s">
        <v>26</v>
      </c>
      <c r="D15" s="4"/>
      <c r="E15" s="4"/>
      <c r="F15" s="4"/>
      <c r="G15" s="4" t="s">
        <v>24</v>
      </c>
      <c r="H15" s="4"/>
      <c r="I15" s="4" t="s">
        <v>24</v>
      </c>
      <c r="J15" s="4"/>
      <c r="K15" s="4"/>
      <c r="L15" s="4"/>
      <c r="M15" s="4"/>
      <c r="N15" s="4"/>
      <c r="O15" s="4"/>
      <c r="P15" s="4"/>
    </row>
    <row r="16" spans="3:16" x14ac:dyDescent="0.25">
      <c r="C16" s="5" t="s">
        <v>19</v>
      </c>
      <c r="D16" s="8" t="s">
        <v>20</v>
      </c>
      <c r="E16" s="6" t="s">
        <v>15</v>
      </c>
      <c r="F16" s="6" t="s">
        <v>22</v>
      </c>
      <c r="G16" s="6" t="s">
        <v>25</v>
      </c>
      <c r="H16" s="6" t="s">
        <v>22</v>
      </c>
      <c r="I16" s="7" t="s">
        <v>23</v>
      </c>
      <c r="J16" s="6" t="s">
        <v>22</v>
      </c>
      <c r="K16" s="6" t="s">
        <v>16</v>
      </c>
      <c r="L16" s="6" t="s">
        <v>22</v>
      </c>
      <c r="M16" s="6" t="s">
        <v>17</v>
      </c>
      <c r="N16" s="6" t="s">
        <v>22</v>
      </c>
      <c r="O16" s="6" t="s">
        <v>18</v>
      </c>
      <c r="P16" s="6" t="s">
        <v>22</v>
      </c>
    </row>
    <row r="17" spans="3:16" x14ac:dyDescent="0.25">
      <c r="C17" s="5">
        <v>0</v>
      </c>
      <c r="D17" s="9" t="s">
        <v>27</v>
      </c>
      <c r="E17">
        <v>117.29730782999999</v>
      </c>
      <c r="F17" s="3" t="s">
        <v>27</v>
      </c>
      <c r="G17" s="1" t="s">
        <v>27</v>
      </c>
      <c r="H17" s="3" t="s">
        <v>27</v>
      </c>
      <c r="I17">
        <v>96.8</v>
      </c>
      <c r="J17" s="3" t="s">
        <v>27</v>
      </c>
      <c r="K17" s="1" t="s">
        <v>27</v>
      </c>
      <c r="L17" s="3" t="s">
        <v>27</v>
      </c>
      <c r="M17" s="1" t="s">
        <v>27</v>
      </c>
      <c r="N17" s="3" t="s">
        <v>27</v>
      </c>
      <c r="O17" s="1" t="s">
        <v>27</v>
      </c>
      <c r="P17" s="3" t="s">
        <v>27</v>
      </c>
    </row>
    <row r="18" spans="3:16" x14ac:dyDescent="0.25">
      <c r="C18" s="5">
        <v>1</v>
      </c>
      <c r="D18" s="9">
        <v>75.273539600000007</v>
      </c>
      <c r="E18">
        <v>75.285073769999997</v>
      </c>
      <c r="F18" s="3">
        <f t="shared" ref="F18:F24" si="6">(D18-E18)/E18</f>
        <v>-1.5320659756843381E-4</v>
      </c>
      <c r="G18">
        <v>75.260999999999996</v>
      </c>
      <c r="H18" s="3">
        <f t="shared" ref="H18:H24" si="7">(D18-G18)/G18</f>
        <v>1.6661484699925414E-4</v>
      </c>
      <c r="I18">
        <v>72.662000000000006</v>
      </c>
      <c r="J18" s="3">
        <f t="shared" ref="J18:J24" si="8">(D18-I18)/I18</f>
        <v>3.5940926481517164E-2</v>
      </c>
      <c r="K18">
        <v>77.569999999999993</v>
      </c>
      <c r="L18" s="3">
        <f t="shared" ref="L18:L24" si="9">(D18-K18)/K18</f>
        <v>-2.9605007090369818E-2</v>
      </c>
      <c r="M18" s="3" t="s">
        <v>27</v>
      </c>
      <c r="N18" s="3" t="s">
        <v>27</v>
      </c>
      <c r="O18" s="3" t="s">
        <v>27</v>
      </c>
      <c r="P18" s="3" t="s">
        <v>27</v>
      </c>
    </row>
    <row r="19" spans="3:16" x14ac:dyDescent="0.25">
      <c r="C19" s="5">
        <v>2</v>
      </c>
      <c r="D19" s="9">
        <v>65.090140989999995</v>
      </c>
      <c r="E19">
        <v>65.247224220000007</v>
      </c>
      <c r="F19" s="3">
        <f t="shared" si="6"/>
        <v>-2.4075082408158877E-3</v>
      </c>
      <c r="G19">
        <v>63.707000000000001</v>
      </c>
      <c r="H19" s="3">
        <f t="shared" si="7"/>
        <v>2.171097351939338E-2</v>
      </c>
      <c r="I19">
        <v>62.186</v>
      </c>
      <c r="J19" s="3">
        <f t="shared" si="8"/>
        <v>4.6700881066477899E-2</v>
      </c>
      <c r="K19">
        <v>66.573999999999998</v>
      </c>
      <c r="L19" s="3">
        <f t="shared" si="9"/>
        <v>-2.2288866674677853E-2</v>
      </c>
      <c r="M19" s="3" t="s">
        <v>27</v>
      </c>
      <c r="N19" s="3" t="s">
        <v>27</v>
      </c>
      <c r="O19" s="3" t="s">
        <v>27</v>
      </c>
      <c r="P19" s="3" t="s">
        <v>27</v>
      </c>
    </row>
    <row r="20" spans="3:16" x14ac:dyDescent="0.25">
      <c r="C20" s="5">
        <v>3</v>
      </c>
      <c r="D20" s="9">
        <v>57.679198589999999</v>
      </c>
      <c r="E20">
        <v>58.736108960000003</v>
      </c>
      <c r="F20" s="3">
        <f t="shared" si="6"/>
        <v>-1.799421835586305E-2</v>
      </c>
      <c r="G20">
        <v>56.384</v>
      </c>
      <c r="H20" s="3">
        <f t="shared" si="7"/>
        <v>2.2971030611520969E-2</v>
      </c>
      <c r="I20">
        <v>55.378999999999998</v>
      </c>
      <c r="J20" s="3">
        <f t="shared" si="8"/>
        <v>4.1535574676321366E-2</v>
      </c>
      <c r="K20">
        <v>59.591999999999999</v>
      </c>
      <c r="L20" s="3">
        <f t="shared" si="9"/>
        <v>-3.2098291884816756E-2</v>
      </c>
      <c r="M20">
        <v>58</v>
      </c>
      <c r="N20" s="3">
        <f t="shared" ref="N20" si="10">(D20-M20)/M20</f>
        <v>-5.5310587931034719E-3</v>
      </c>
      <c r="O20">
        <v>40</v>
      </c>
      <c r="P20" s="3">
        <f t="shared" ref="P20" si="11">(D20-O20)/O20</f>
        <v>0.44197996474999995</v>
      </c>
    </row>
    <row r="21" spans="3:16" x14ac:dyDescent="0.25">
      <c r="C21" s="5">
        <v>4</v>
      </c>
      <c r="D21" s="9">
        <v>53.449461210000003</v>
      </c>
      <c r="E21">
        <v>53.444346449999998</v>
      </c>
      <c r="F21" s="3">
        <f t="shared" si="6"/>
        <v>9.5702545540342975E-5</v>
      </c>
      <c r="G21">
        <v>51.218000000000004</v>
      </c>
      <c r="H21" s="3">
        <f t="shared" si="7"/>
        <v>4.3567909914483172E-2</v>
      </c>
      <c r="I21">
        <v>50.51</v>
      </c>
      <c r="J21" s="3">
        <f t="shared" si="8"/>
        <v>5.8195628786379031E-2</v>
      </c>
      <c r="K21">
        <v>54.356000000000002</v>
      </c>
      <c r="L21" s="3">
        <f t="shared" si="9"/>
        <v>-1.6677805394068716E-2</v>
      </c>
      <c r="M21" s="3" t="s">
        <v>27</v>
      </c>
      <c r="N21" s="3" t="s">
        <v>27</v>
      </c>
      <c r="O21" s="3" t="s">
        <v>27</v>
      </c>
      <c r="P21" s="3" t="s">
        <v>27</v>
      </c>
    </row>
    <row r="22" spans="3:16" x14ac:dyDescent="0.25">
      <c r="C22" s="5">
        <v>5</v>
      </c>
      <c r="D22" s="9">
        <v>50.002456340000002</v>
      </c>
      <c r="E22">
        <v>49.373044350000001</v>
      </c>
      <c r="F22" s="3">
        <f t="shared" si="6"/>
        <v>1.2748089535216219E-2</v>
      </c>
      <c r="G22">
        <v>47.311999999999998</v>
      </c>
      <c r="H22" s="3">
        <f t="shared" si="7"/>
        <v>5.6866256763611865E-2</v>
      </c>
      <c r="I22">
        <v>46.849499999999999</v>
      </c>
      <c r="J22" s="3">
        <f t="shared" si="8"/>
        <v>6.7299679612375859E-2</v>
      </c>
      <c r="K22">
        <v>50.313000000000002</v>
      </c>
      <c r="L22" s="3">
        <f t="shared" si="9"/>
        <v>-6.172235008844641E-3</v>
      </c>
      <c r="M22">
        <v>51</v>
      </c>
      <c r="N22" s="3">
        <f t="shared" ref="N22" si="12">(D22-M22)/M22</f>
        <v>-1.9559679607843099E-2</v>
      </c>
      <c r="O22">
        <v>36</v>
      </c>
      <c r="P22" s="3">
        <f t="shared" ref="P22" si="13">(D22-O22)/O22</f>
        <v>0.38895712055555559</v>
      </c>
    </row>
    <row r="23" spans="3:16" x14ac:dyDescent="0.25">
      <c r="C23" s="5">
        <v>6</v>
      </c>
      <c r="D23" s="9">
        <v>46.463545850000003</v>
      </c>
      <c r="E23">
        <v>46.134312020000003</v>
      </c>
      <c r="F23" s="3">
        <f t="shared" si="6"/>
        <v>7.136420065335998E-3</v>
      </c>
      <c r="G23">
        <v>44.118000000000002</v>
      </c>
      <c r="H23" s="3">
        <f t="shared" si="7"/>
        <v>5.3165280611088453E-2</v>
      </c>
      <c r="I23">
        <v>43.734999999999999</v>
      </c>
      <c r="J23" s="3">
        <f t="shared" si="8"/>
        <v>6.2388152509431881E-2</v>
      </c>
      <c r="K23">
        <v>47.258000000000003</v>
      </c>
      <c r="L23" s="3">
        <f t="shared" si="9"/>
        <v>-1.6810998137881415E-2</v>
      </c>
      <c r="M23" s="3" t="s">
        <v>27</v>
      </c>
      <c r="N23" s="3" t="s">
        <v>27</v>
      </c>
      <c r="O23" s="3" t="s">
        <v>27</v>
      </c>
      <c r="P23" s="3" t="s">
        <v>27</v>
      </c>
    </row>
    <row r="24" spans="3:16" x14ac:dyDescent="0.25">
      <c r="C24" s="5">
        <v>7</v>
      </c>
      <c r="D24" s="9">
        <v>44.219920860000002</v>
      </c>
      <c r="E24">
        <v>43.403331420000001</v>
      </c>
      <c r="F24" s="3">
        <f t="shared" si="6"/>
        <v>1.8813980708027443E-2</v>
      </c>
      <c r="G24">
        <v>41.514000000000003</v>
      </c>
      <c r="H24" s="3">
        <f t="shared" si="7"/>
        <v>6.5180923543864691E-2</v>
      </c>
      <c r="I24">
        <v>41.26</v>
      </c>
      <c r="J24" s="3">
        <f t="shared" si="8"/>
        <v>7.1738266117304994E-2</v>
      </c>
      <c r="K24">
        <v>44.465000000000003</v>
      </c>
      <c r="L24" s="3">
        <f t="shared" si="9"/>
        <v>-5.5117314741932174E-3</v>
      </c>
      <c r="M24">
        <v>46</v>
      </c>
      <c r="N24" s="3">
        <f t="shared" ref="N24" si="14">(D24-M24)/M24</f>
        <v>-3.8697372608695609E-2</v>
      </c>
      <c r="O24" s="3" t="s">
        <v>27</v>
      </c>
      <c r="P24" s="3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2026-10-01T16:50:18Z</dcterms:created>
  <dcterms:modified xsi:type="dcterms:W3CDTF">2026-10-23T19:45:24Z</dcterms:modified>
</cp:coreProperties>
</file>